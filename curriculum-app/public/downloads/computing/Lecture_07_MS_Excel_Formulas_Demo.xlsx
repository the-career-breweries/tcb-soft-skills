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ession_Plan" sheetId="1" state="visible" r:id="rId1"/>
    <sheet xmlns:r="http://schemas.openxmlformats.org/officeDocument/2006/relationships" name="02_Basic_Formulas" sheetId="2" state="visible" r:id="rId2"/>
    <sheet xmlns:r="http://schemas.openxmlformats.org/officeDocument/2006/relationships" name="03_Ticket_Sales" sheetId="3" state="visible" r:id="rId3"/>
    <sheet xmlns:r="http://schemas.openxmlformats.org/officeDocument/2006/relationships" name="04_Cargo_Weight" sheetId="4" state="visible" r:id="rId4"/>
    <sheet xmlns:r="http://schemas.openxmlformats.org/officeDocument/2006/relationships" name="05_Student_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2340"/>
      <sz val="14"/>
    </font>
    <font>
      <i val="1"/>
      <color rgb="000EA59A"/>
      <sz val="10"/>
    </font>
    <font>
      <b val="1"/>
      <color rgb="000B2340"/>
      <sz val="12"/>
    </font>
    <font>
      <b val="1"/>
      <color rgb="00FFFFFF"/>
      <sz val="11"/>
    </font>
    <font>
      <b val="1"/>
    </font>
    <font>
      <b val="1"/>
      <color rgb="000B2340"/>
    </font>
    <font>
      <color rgb="001B2A3D"/>
      <sz val="10"/>
    </font>
  </fonts>
  <fills count="4">
    <fill>
      <patternFill/>
    </fill>
    <fill>
      <patternFill patternType="gray125"/>
    </fill>
    <fill>
      <patternFill patternType="solid">
        <fgColor rgb="000B2340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Lecture 07 — MS Excel: Formulas</t>
        </is>
      </c>
    </row>
    <row r="2">
      <c r="A2" s="2" t="inlineStr">
        <is>
          <t>110-Minute Practical Lab Session | BSc Aviation | Alliance University</t>
        </is>
      </c>
    </row>
    <row r="4">
      <c r="A4" s="3" t="inlineStr">
        <is>
          <t>TIMELINE</t>
        </is>
      </c>
    </row>
    <row r="5">
      <c r="A5" t="inlineStr">
        <is>
          <t>0:00 – 0:10</t>
        </is>
      </c>
      <c r="B5" t="inlineStr">
        <is>
          <t>Excel interface — cells, rows, columns, formula bar</t>
        </is>
      </c>
    </row>
    <row r="6">
      <c r="A6" t="inlineStr">
        <is>
          <t>0:10 – 0:30</t>
        </is>
      </c>
      <c r="B6" t="inlineStr">
        <is>
          <t>Basic operators +, -, *, / on Sheet 02</t>
        </is>
      </c>
    </row>
    <row r="7">
      <c r="A7" t="inlineStr">
        <is>
          <t>0:30 – 0:55</t>
        </is>
      </c>
      <c r="B7" t="inlineStr">
        <is>
          <t>Cell references and AutoFill on Sheet 02</t>
        </is>
      </c>
    </row>
    <row r="8">
      <c r="A8" t="inlineStr">
        <is>
          <t>0:55 – 1:25</t>
        </is>
      </c>
      <c r="B8" t="inlineStr">
        <is>
          <t>Ticket sales formulas on Sheet 03</t>
        </is>
      </c>
    </row>
    <row r="9">
      <c r="A9" t="inlineStr">
        <is>
          <t>1:25 – 1:45</t>
        </is>
      </c>
      <c r="B9" t="inlineStr">
        <is>
          <t>Cargo weight calculations on Sheet 04</t>
        </is>
      </c>
    </row>
    <row r="10">
      <c r="A10" t="inlineStr">
        <is>
          <t>1:45 – 2:00</t>
        </is>
      </c>
      <c r="B10" t="inlineStr">
        <is>
          <t>Student practice Sheet 05 + save</t>
        </is>
      </c>
    </row>
    <row r="12">
      <c r="A12" s="3" t="inlineStr">
        <is>
          <t>LEARNING OBJECTIVES</t>
        </is>
      </c>
    </row>
    <row r="13">
      <c r="A13" t="inlineStr">
        <is>
          <t>• Enter data and navigate worksheets</t>
        </is>
      </c>
    </row>
    <row r="14">
      <c r="A14" t="inlineStr">
        <is>
          <t>• Write formulas with +, -, *, /</t>
        </is>
      </c>
    </row>
    <row r="15">
      <c r="A15" t="inlineStr">
        <is>
          <t>• Use cell references (A1, B2) and ranges (A1:A5)</t>
        </is>
      </c>
    </row>
    <row r="16">
      <c r="A16" t="inlineStr">
        <is>
          <t>• Copy formulas with Fill handle / AutoFill</t>
        </is>
      </c>
    </row>
    <row r="17">
      <c r="A17" t="inlineStr">
        <is>
          <t>• Build a real-world ticket sales calculator</t>
        </is>
      </c>
    </row>
    <row r="19">
      <c r="A19" s="3" t="inlineStr">
        <is>
          <t>LAB TASKS</t>
        </is>
      </c>
    </row>
    <row r="20">
      <c r="A20" t="inlineStr">
        <is>
          <t>1. Complete all formula cells on Sheet 02 (do not type answers — use =)</t>
        </is>
      </c>
    </row>
    <row r="21">
      <c r="A21" t="inlineStr">
        <is>
          <t>2. Finish ticket sales sheet — add 2 passengers on Sheet 03</t>
        </is>
      </c>
    </row>
    <row r="22">
      <c r="A22" t="inlineStr">
        <is>
          <t>3. Complete cargo weight sheet on Sheet 04</t>
        </is>
      </c>
    </row>
    <row r="23">
      <c r="A23" t="inlineStr">
        <is>
          <t>4. Fill student practice sheet 05 independently</t>
        </is>
      </c>
    </row>
    <row r="24">
      <c r="A24" t="inlineStr">
        <is>
          <t>5. Save as Lab07_Formulas_YourName.xlsx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Practice 1 — Operators &amp; Cell References</t>
        </is>
      </c>
    </row>
    <row r="3">
      <c r="A3" s="4" t="inlineStr">
        <is>
          <t>A: Number</t>
        </is>
      </c>
      <c r="B3" s="4" t="inlineStr">
        <is>
          <t>B: ×2</t>
        </is>
      </c>
      <c r="C3" s="4" t="inlineStr">
        <is>
          <t>C: +10</t>
        </is>
      </c>
      <c r="D3" s="4" t="inlineStr">
        <is>
          <t>D: ÷2</t>
        </is>
      </c>
      <c r="E3" s="4" t="inlineStr">
        <is>
          <t>E: Formula notes</t>
        </is>
      </c>
    </row>
    <row r="4">
      <c r="A4" t="n">
        <v>10</v>
      </c>
      <c r="B4">
        <f>A4*2</f>
        <v/>
      </c>
      <c r="C4">
        <f>A4+10</f>
        <v/>
      </c>
      <c r="D4">
        <f>A4/2</f>
        <v/>
      </c>
      <c r="E4">
        <f>A4*2  |  =A4+10  |  =A4/2</f>
        <v/>
      </c>
    </row>
    <row r="5">
      <c r="A5" t="n">
        <v>20</v>
      </c>
      <c r="B5">
        <f>A5*2</f>
        <v/>
      </c>
      <c r="C5">
        <f>A5+10</f>
        <v/>
      </c>
      <c r="D5">
        <f>A5/2</f>
        <v/>
      </c>
      <c r="E5">
        <f>A5*2  |  =A5+10  |  =A5/2</f>
        <v/>
      </c>
    </row>
    <row r="6">
      <c r="A6" t="n">
        <v>30</v>
      </c>
      <c r="B6">
        <f>A6*2</f>
        <v/>
      </c>
      <c r="C6">
        <f>A6+10</f>
        <v/>
      </c>
      <c r="D6">
        <f>A6/2</f>
        <v/>
      </c>
      <c r="E6">
        <f>A6*2  |  =A6+10  |  =A6/2</f>
        <v/>
      </c>
    </row>
    <row r="7">
      <c r="A7" t="n">
        <v>40</v>
      </c>
      <c r="B7">
        <f>A7*2</f>
        <v/>
      </c>
      <c r="C7">
        <f>A7+10</f>
        <v/>
      </c>
      <c r="D7">
        <f>A7/2</f>
        <v/>
      </c>
      <c r="E7">
        <f>A7*2  |  =A7+10  |  =A7/2</f>
        <v/>
      </c>
    </row>
    <row r="8">
      <c r="A8" t="n">
        <v>50</v>
      </c>
      <c r="B8">
        <f>A8*2</f>
        <v/>
      </c>
      <c r="C8">
        <f>A8+10</f>
        <v/>
      </c>
      <c r="D8">
        <f>A8/2</f>
        <v/>
      </c>
      <c r="E8">
        <f>A8*2  |  =A8+10  |  =A8/2</f>
        <v/>
      </c>
    </row>
    <row r="9">
      <c r="A9" t="n">
        <v>60</v>
      </c>
      <c r="B9">
        <f>A9*2</f>
        <v/>
      </c>
      <c r="C9">
        <f>A9+10</f>
        <v/>
      </c>
      <c r="D9">
        <f>A9/2</f>
        <v/>
      </c>
      <c r="E9">
        <f>A9*2  |  =A9+10  |  =A9/2</f>
        <v/>
      </c>
    </row>
    <row r="10">
      <c r="A10" t="n">
        <v>70</v>
      </c>
      <c r="B10">
        <f>A10*2</f>
        <v/>
      </c>
      <c r="C10">
        <f>A10+10</f>
        <v/>
      </c>
      <c r="D10">
        <f>A10/2</f>
        <v/>
      </c>
      <c r="E10">
        <f>A10*2  |  =A10+10  |  =A10/2</f>
        <v/>
      </c>
    </row>
    <row r="11">
      <c r="A11" t="n">
        <v>80</v>
      </c>
      <c r="B11">
        <f>A11*2</f>
        <v/>
      </c>
      <c r="C11">
        <f>A11+10</f>
        <v/>
      </c>
      <c r="D11">
        <f>A11/2</f>
        <v/>
      </c>
      <c r="E11">
        <f>A11*2  |  =A11+10  |  =A11/2</f>
        <v/>
      </c>
    </row>
    <row r="13">
      <c r="A13" t="inlineStr">
        <is>
          <t>SUM</t>
        </is>
      </c>
      <c r="B13">
        <f>SUM(A4:A11)</f>
        <v/>
      </c>
      <c r="C13" t="inlineStr">
        <is>
          <t>AVERAGE</t>
        </is>
      </c>
      <c r="D13">
        <f>AVERAGE(A4:A11)</f>
        <v/>
      </c>
      <c r="E13" t="inlineStr">
        <is>
          <t>Sum=360, Avg=45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4" customWidth="1" min="5" max="5"/>
    <col width="32" customWidth="1" min="6" max="6"/>
  </cols>
  <sheetData>
    <row r="1">
      <c r="A1" s="1" t="inlineStr">
        <is>
          <t>Practice 2 — Aviation Ticket Sales</t>
        </is>
      </c>
    </row>
    <row r="3">
      <c r="A3" s="4" t="inlineStr">
        <is>
          <t>Passenger</t>
        </is>
      </c>
      <c r="B3" s="4" t="inlineStr">
        <is>
          <t>Fare (₹)</t>
        </is>
      </c>
      <c r="C3" s="4" t="inlineStr">
        <is>
          <t>Tax (10%)</t>
        </is>
      </c>
      <c r="D3" s="4" t="inlineStr">
        <is>
          <t>Service Fee (₹)</t>
        </is>
      </c>
      <c r="E3" s="4" t="inlineStr">
        <is>
          <t>Total (₹)</t>
        </is>
      </c>
      <c r="F3" s="4" t="inlineStr">
        <is>
          <t>Formula</t>
        </is>
      </c>
    </row>
    <row r="4">
      <c r="A4" t="inlineStr">
        <is>
          <t>Rahul Sharma</t>
        </is>
      </c>
      <c r="B4" t="n">
        <v>4500</v>
      </c>
      <c r="C4">
        <f>B4*0.1</f>
        <v/>
      </c>
      <c r="D4" t="n">
        <v>200</v>
      </c>
      <c r="E4">
        <f>B4+C4+D4</f>
        <v/>
      </c>
      <c r="F4" t="inlineStr">
        <is>
          <t>Total = Fare + Tax + Fee</t>
        </is>
      </c>
    </row>
    <row r="5">
      <c r="A5" t="inlineStr">
        <is>
          <t>Priya Nair</t>
        </is>
      </c>
      <c r="B5" t="n">
        <v>6200</v>
      </c>
      <c r="C5">
        <f>B5*0.1</f>
        <v/>
      </c>
      <c r="D5" t="n">
        <v>200</v>
      </c>
      <c r="E5">
        <f>B5+C5+D5</f>
        <v/>
      </c>
      <c r="F5" t="inlineStr">
        <is>
          <t>Total = Fare + Tax + Fee</t>
        </is>
      </c>
    </row>
    <row r="6">
      <c r="A6" t="inlineStr">
        <is>
          <t>Amit Patel</t>
        </is>
      </c>
      <c r="B6" t="n">
        <v>3800</v>
      </c>
      <c r="C6">
        <f>B6*0.1</f>
        <v/>
      </c>
      <c r="D6" t="n">
        <v>150</v>
      </c>
      <c r="E6">
        <f>B6+C6+D6</f>
        <v/>
      </c>
      <c r="F6" t="inlineStr">
        <is>
          <t>Total = Fare + Tax + Fee</t>
        </is>
      </c>
    </row>
    <row r="7">
      <c r="A7" t="inlineStr">
        <is>
          <t>Sneha Reddy</t>
        </is>
      </c>
      <c r="B7" t="n">
        <v>7500</v>
      </c>
      <c r="C7">
        <f>B7*0.1</f>
        <v/>
      </c>
      <c r="D7" t="n">
        <v>250</v>
      </c>
      <c r="E7">
        <f>B7+C7+D7</f>
        <v/>
      </c>
      <c r="F7" t="inlineStr">
        <is>
          <t>Total = Fare + Tax + Fee</t>
        </is>
      </c>
    </row>
    <row r="8">
      <c r="A8" t="inlineStr">
        <is>
          <t>Vikram Singh</t>
        </is>
      </c>
      <c r="B8" t="n">
        <v>5100</v>
      </c>
      <c r="C8">
        <f>B8*0.1</f>
        <v/>
      </c>
      <c r="D8" t="n">
        <v>200</v>
      </c>
      <c r="E8">
        <f>B8+C8+D8</f>
        <v/>
      </c>
      <c r="F8" t="inlineStr">
        <is>
          <t>Total = Fare + Tax + Fee</t>
        </is>
      </c>
    </row>
    <row r="9">
      <c r="A9" t="inlineStr">
        <is>
          <t>Fatima Ali</t>
        </is>
      </c>
      <c r="B9" t="n">
        <v>8900</v>
      </c>
      <c r="C9">
        <f>B9*0.1</f>
        <v/>
      </c>
      <c r="D9" t="n">
        <v>300</v>
      </c>
      <c r="E9">
        <f>B9+C9+D9</f>
        <v/>
      </c>
      <c r="F9" t="inlineStr">
        <is>
          <t>Total = Fare + Tax + Fee</t>
        </is>
      </c>
    </row>
    <row r="10">
      <c r="A10" t="inlineStr">
        <is>
          <t>Karan Joshi</t>
        </is>
      </c>
      <c r="B10" t="n">
        <v>4200</v>
      </c>
      <c r="C10">
        <f>B10*0.1</f>
        <v/>
      </c>
      <c r="D10" t="n">
        <v>150</v>
      </c>
      <c r="E10">
        <f>B10+C10+D10</f>
        <v/>
      </c>
      <c r="F10" t="inlineStr">
        <is>
          <t>Total = Fare + Tax + Fee</t>
        </is>
      </c>
    </row>
    <row r="11">
      <c r="A11" t="inlineStr">
        <is>
          <t>Meera Iyer</t>
        </is>
      </c>
      <c r="B11" t="n">
        <v>6800</v>
      </c>
      <c r="C11">
        <f>B11*0.1</f>
        <v/>
      </c>
      <c r="D11" t="n">
        <v>200</v>
      </c>
      <c r="E11">
        <f>B11+C11+D11</f>
        <v/>
      </c>
      <c r="F11" t="inlineStr">
        <is>
          <t>Total = Fare + Tax + Fee</t>
        </is>
      </c>
    </row>
    <row r="13">
      <c r="A13" s="5" t="inlineStr">
        <is>
          <t>GRAND TOTAL</t>
        </is>
      </c>
      <c r="E13" s="3">
        <f>SUM(E4:E11)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Practice 3 — Cargo Weight Calculator</t>
        </is>
      </c>
    </row>
    <row r="3">
      <c r="A3" s="4" t="inlineStr">
        <is>
          <t>Item</t>
        </is>
      </c>
      <c r="B3" s="4" t="inlineStr">
        <is>
          <t>Pieces</t>
        </is>
      </c>
      <c r="C3" s="4" t="inlineStr">
        <is>
          <t>Weight/kg each</t>
        </is>
      </c>
      <c r="D3" s="4" t="inlineStr">
        <is>
          <t>Total kg</t>
        </is>
      </c>
      <c r="E3" s="4" t="inlineStr">
        <is>
          <t>Max allowed</t>
        </is>
      </c>
      <c r="F3" s="4" t="inlineStr">
        <is>
          <t>OK?</t>
        </is>
      </c>
    </row>
    <row r="4">
      <c r="A4" t="inlineStr">
        <is>
          <t>Baggage</t>
        </is>
      </c>
      <c r="B4" t="n">
        <v>120</v>
      </c>
      <c r="C4" t="n">
        <v>23</v>
      </c>
      <c r="D4">
        <f>B4*C4</f>
        <v/>
      </c>
      <c r="E4" t="n">
        <v>5000</v>
      </c>
      <c r="F4">
        <f>IF(D4&lt;=E4,"OK","Check")</f>
        <v/>
      </c>
    </row>
    <row r="5">
      <c r="A5" t="inlineStr">
        <is>
          <t>Cargo</t>
        </is>
      </c>
      <c r="B5" t="n">
        <v>45</v>
      </c>
      <c r="C5" t="n">
        <v>80</v>
      </c>
      <c r="D5">
        <f>B5*C5</f>
        <v/>
      </c>
      <c r="E5" t="n">
        <v>5000</v>
      </c>
      <c r="F5">
        <f>IF(D5&lt;=E5,"OK","Check")</f>
        <v/>
      </c>
    </row>
    <row r="6">
      <c r="A6" t="inlineStr">
        <is>
          <t>Mail</t>
        </is>
      </c>
      <c r="B6" t="n">
        <v>30</v>
      </c>
      <c r="C6" t="n">
        <v>5</v>
      </c>
      <c r="D6">
        <f>B6*C6</f>
        <v/>
      </c>
      <c r="E6" t="n">
        <v>5000</v>
      </c>
      <c r="F6">
        <f>IF(D6&lt;=E6,"OK","Check")</f>
        <v/>
      </c>
    </row>
    <row r="7">
      <c r="A7" t="inlineStr">
        <is>
          <t>Equipment</t>
        </is>
      </c>
      <c r="B7" t="n">
        <v>8</v>
      </c>
      <c r="C7" t="n">
        <v>150</v>
      </c>
      <c r="D7">
        <f>B7*C7</f>
        <v/>
      </c>
      <c r="E7" t="n">
        <v>5000</v>
      </c>
      <c r="F7">
        <f>IF(D7&lt;=E7,"OK","Check")</f>
        <v/>
      </c>
    </row>
    <row r="9">
      <c r="A9" t="inlineStr">
        <is>
          <t>TOTAL WEIGHT</t>
        </is>
      </c>
      <c r="D9" s="6">
        <f>SUM(D4:D7)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Your Turn — Build This Sheet</t>
        </is>
      </c>
    </row>
    <row r="3">
      <c r="A3" s="7" t="inlineStr">
        <is>
          <t>STUDENT EXERCISE (30 min):
Create a Fuel Cost calculator:
Column A: Aircraft type (A320, B737, ATR, etc.)
Column B: Distance (km)
Column C: Fuel per km (litres)
Column D: =B*C (total fuel litres)
Column E: Price per litre (₹)
Column F: =D*E (total fuel cost)
Add 5 aircraft rows + GRAND TOTAL at bottom
Save workbook when complete!</t>
        </is>
      </c>
    </row>
    <row r="4"/>
    <row r="5"/>
    <row r="6"/>
    <row r="7"/>
    <row r="8"/>
    <row r="9"/>
    <row r="10"/>
    <row r="11"/>
    <row r="12"/>
    <row r="13"/>
    <row r="14"/>
  </sheetData>
  <mergeCells count="2">
    <mergeCell ref="A1:D1"/>
    <mergeCell ref="A3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2026-07-26T05:58:25Z</dcterms:created>
  <dcterms:modified xmlns:dcterms="http://purl.org/dc/terms/" xmlns:xsi="http://www.w3.org/2001/XMLSchema-instance" xsi:type="dcterms:W3CDTF">2026-07-26T05:58:25Z</dcterms:modified>
</cp:coreProperties>
</file>