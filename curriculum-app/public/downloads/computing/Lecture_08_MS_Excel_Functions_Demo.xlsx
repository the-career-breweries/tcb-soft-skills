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ession_Plan" sheetId="1" state="visible" r:id="rId1"/>
    <sheet xmlns:r="http://schemas.openxmlformats.org/officeDocument/2006/relationships" name="02_Student_Marks" sheetId="2" state="visible" r:id="rId2"/>
    <sheet xmlns:r="http://schemas.openxmlformats.org/officeDocument/2006/relationships" name="03_Class_Test2" sheetId="3" state="visible" r:id="rId3"/>
    <sheet xmlns:r="http://schemas.openxmlformats.org/officeDocument/2006/relationships" name="04_Attendance" sheetId="4" state="visible" r:id="rId4"/>
    <sheet xmlns:r="http://schemas.openxmlformats.org/officeDocument/2006/relationships" name="05_Student_Practi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B2340"/>
      <sz val="14"/>
    </font>
    <font>
      <i val="1"/>
      <color rgb="000EA59A"/>
      <sz val="10"/>
    </font>
    <font>
      <b val="1"/>
      <color rgb="000B2340"/>
      <sz val="12"/>
    </font>
    <font>
      <i val="1"/>
      <color rgb="000EA59A"/>
    </font>
    <font>
      <b val="1"/>
      <color rgb="00FFFFFF"/>
      <sz val="11"/>
    </font>
    <font>
      <b val="1"/>
    </font>
    <font>
      <color rgb="001B2A3D"/>
      <sz val="10"/>
    </font>
  </fonts>
  <fills count="4">
    <fill>
      <patternFill/>
    </fill>
    <fill>
      <patternFill patternType="gray125"/>
    </fill>
    <fill>
      <patternFill patternType="solid">
        <fgColor rgb="000B2340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</cols>
  <sheetData>
    <row r="1">
      <c r="A1" s="1" t="inlineStr">
        <is>
          <t>Lecture 08 — MS Excel: Functions</t>
        </is>
      </c>
    </row>
    <row r="2">
      <c r="A2" s="2" t="inlineStr">
        <is>
          <t>110-Minute Practical Lab Session | BSc Aviation | Alliance University</t>
        </is>
      </c>
    </row>
    <row r="4">
      <c r="A4" s="3" t="inlineStr">
        <is>
          <t>TIMELINE</t>
        </is>
      </c>
    </row>
    <row r="5">
      <c r="A5" t="inlineStr">
        <is>
          <t>0:00 – 0:10</t>
        </is>
      </c>
      <c r="B5" t="inlineStr">
        <is>
          <t>Recap formulas — open Lab07 file</t>
        </is>
      </c>
    </row>
    <row r="6">
      <c r="A6" t="inlineStr">
        <is>
          <t>0:10 – 0:35</t>
        </is>
      </c>
      <c r="B6" t="inlineStr">
        <is>
          <t>SUM, AVERAGE, MAX, MIN, COUNT on Sheet 02</t>
        </is>
      </c>
    </row>
    <row r="7">
      <c r="A7" t="inlineStr">
        <is>
          <t>0:35 – 1:00</t>
        </is>
      </c>
      <c r="B7" t="inlineStr">
        <is>
          <t>IF function — Pass/Fail on Sheet 02</t>
        </is>
      </c>
    </row>
    <row r="8">
      <c r="A8" t="inlineStr">
        <is>
          <t>1:00 – 1:25</t>
        </is>
      </c>
      <c r="B8" t="inlineStr">
        <is>
          <t>Class Test 2 marks on Sheet 03</t>
        </is>
      </c>
    </row>
    <row r="9">
      <c r="A9" t="inlineStr">
        <is>
          <t>1:25 – 1:45</t>
        </is>
      </c>
      <c r="B9" t="inlineStr">
        <is>
          <t>Attendance % calculator on Sheet 04</t>
        </is>
      </c>
    </row>
    <row r="10">
      <c r="A10" t="inlineStr">
        <is>
          <t>1:45 – 2:00</t>
        </is>
      </c>
      <c r="B10" t="inlineStr">
        <is>
          <t>Student practice Sheet 05</t>
        </is>
      </c>
    </row>
    <row r="12">
      <c r="A12" s="3" t="inlineStr">
        <is>
          <t>LEARNING OBJECTIVES</t>
        </is>
      </c>
    </row>
    <row r="13">
      <c r="A13" t="inlineStr">
        <is>
          <t>• Use SUM, AVERAGE, MAX, MIN, COUNT, COUNTIF</t>
        </is>
      </c>
    </row>
    <row r="14">
      <c r="A14" t="inlineStr">
        <is>
          <t>• Write IF formulas for Pass/Fail decisions</t>
        </is>
      </c>
    </row>
    <row r="15">
      <c r="A15" t="inlineStr">
        <is>
          <t>• Combine functions in summary section</t>
        </is>
      </c>
    </row>
    <row r="16">
      <c r="A16" t="inlineStr">
        <is>
          <t>• Apply functions to real student data</t>
        </is>
      </c>
    </row>
    <row r="18">
      <c r="A18" s="3" t="inlineStr">
        <is>
          <t>LAB TASKS</t>
        </is>
      </c>
    </row>
    <row r="19">
      <c r="A19" t="inlineStr">
        <is>
          <t>1. Complete function summary on Sheet 02</t>
        </is>
      </c>
    </row>
    <row r="20">
      <c r="A20" t="inlineStr">
        <is>
          <t>2. Add 2 students to marks sheet with formulas</t>
        </is>
      </c>
    </row>
    <row r="21">
      <c r="A21" t="inlineStr">
        <is>
          <t>3. Complete Class Test 2 sheet</t>
        </is>
      </c>
    </row>
    <row r="22">
      <c r="A22" t="inlineStr">
        <is>
          <t>4. Build attendance calculator on Sheet 04</t>
        </is>
      </c>
    </row>
    <row r="23">
      <c r="A23" t="inlineStr">
        <is>
          <t>5. Save as Lab08_Functions_YourName.xlsx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Practice 1 — Student Marks &amp; IF Function</t>
        </is>
      </c>
    </row>
    <row r="2">
      <c r="A2" s="4" t="inlineStr">
        <is>
          <t>Pass mark: 40  |  Distinction: 75</t>
        </is>
      </c>
    </row>
    <row r="4">
      <c r="A4" s="5" t="inlineStr">
        <is>
          <t>Student</t>
        </is>
      </c>
      <c r="B4" s="5" t="inlineStr">
        <is>
          <t>Test 1</t>
        </is>
      </c>
      <c r="C4" s="5" t="inlineStr">
        <is>
          <t>Test 2</t>
        </is>
      </c>
      <c r="D4" s="5" t="inlineStr">
        <is>
          <t>Average</t>
        </is>
      </c>
      <c r="E4" s="5" t="inlineStr">
        <is>
          <t>Result</t>
        </is>
      </c>
      <c r="F4" s="5" t="inlineStr">
        <is>
          <t>Grade</t>
        </is>
      </c>
    </row>
    <row r="5">
      <c r="A5" t="inlineStr">
        <is>
          <t>Aisha Khan</t>
        </is>
      </c>
      <c r="B5" t="n">
        <v>78</v>
      </c>
      <c r="C5" t="n">
        <v>82</v>
      </c>
      <c r="D5">
        <f>AVERAGE(B5:C5)</f>
        <v/>
      </c>
      <c r="E5">
        <f>IF(D5&gt;=40,"Pass","Fail")</f>
        <v/>
      </c>
      <c r="F5">
        <f>IF(D5&gt;=75,"A",IF(D5&gt;=60,"B",IF(D5&gt;=40,"C","F")))</f>
        <v/>
      </c>
    </row>
    <row r="6">
      <c r="A6" t="inlineStr">
        <is>
          <t>Rohan Mehta</t>
        </is>
      </c>
      <c r="B6" t="n">
        <v>35</v>
      </c>
      <c r="C6" t="n">
        <v>42</v>
      </c>
      <c r="D6">
        <f>AVERAGE(B6:C6)</f>
        <v/>
      </c>
      <c r="E6">
        <f>IF(D6&gt;=40,"Pass","Fail")</f>
        <v/>
      </c>
      <c r="F6">
        <f>IF(D6&gt;=75,"A",IF(D6&gt;=60,"B",IF(D6&gt;=40,"C","F")))</f>
        <v/>
      </c>
    </row>
    <row r="7">
      <c r="A7" t="inlineStr">
        <is>
          <t>Fatima Ali</t>
        </is>
      </c>
      <c r="B7" t="n">
        <v>62</v>
      </c>
      <c r="C7" t="n">
        <v>58</v>
      </c>
      <c r="D7">
        <f>AVERAGE(B7:C7)</f>
        <v/>
      </c>
      <c r="E7">
        <f>IF(D7&gt;=40,"Pass","Fail")</f>
        <v/>
      </c>
      <c r="F7">
        <f>IF(D7&gt;=75,"A",IF(D7&gt;=60,"B",IF(D7&gt;=40,"C","F")))</f>
        <v/>
      </c>
    </row>
    <row r="8">
      <c r="A8" t="inlineStr">
        <is>
          <t>Karan Joshi</t>
        </is>
      </c>
      <c r="B8" t="n">
        <v>48</v>
      </c>
      <c r="C8" t="n">
        <v>55</v>
      </c>
      <c r="D8">
        <f>AVERAGE(B8:C8)</f>
        <v/>
      </c>
      <c r="E8">
        <f>IF(D8&gt;=40,"Pass","Fail")</f>
        <v/>
      </c>
      <c r="F8">
        <f>IF(D8&gt;=75,"A",IF(D8&gt;=60,"B",IF(D8&gt;=40,"C","F")))</f>
        <v/>
      </c>
    </row>
    <row r="9">
      <c r="A9" t="inlineStr">
        <is>
          <t>Meera Iyer</t>
        </is>
      </c>
      <c r="B9" t="n">
        <v>91</v>
      </c>
      <c r="C9" t="n">
        <v>88</v>
      </c>
      <c r="D9">
        <f>AVERAGE(B9:C9)</f>
        <v/>
      </c>
      <c r="E9">
        <f>IF(D9&gt;=40,"Pass","Fail")</f>
        <v/>
      </c>
      <c r="F9">
        <f>IF(D9&gt;=75,"A",IF(D9&gt;=60,"B",IF(D9&gt;=40,"C","F")))</f>
        <v/>
      </c>
    </row>
    <row r="10">
      <c r="A10" t="inlineStr">
        <is>
          <t>Arjun Das</t>
        </is>
      </c>
      <c r="B10" t="n">
        <v>28</v>
      </c>
      <c r="C10" t="n">
        <v>38</v>
      </c>
      <c r="D10">
        <f>AVERAGE(B10:C10)</f>
        <v/>
      </c>
      <c r="E10">
        <f>IF(D10&gt;=40,"Pass","Fail")</f>
        <v/>
      </c>
      <c r="F10">
        <f>IF(D10&gt;=75,"A",IF(D10&gt;=60,"B",IF(D10&gt;=40,"C","F")))</f>
        <v/>
      </c>
    </row>
    <row r="11">
      <c r="A11" t="inlineStr">
        <is>
          <t>Nisha Verma</t>
        </is>
      </c>
      <c r="B11" t="n">
        <v>55</v>
      </c>
      <c r="C11" t="n">
        <v>61</v>
      </c>
      <c r="D11">
        <f>AVERAGE(B11:C11)</f>
        <v/>
      </c>
      <c r="E11">
        <f>IF(D11&gt;=40,"Pass","Fail")</f>
        <v/>
      </c>
      <c r="F11">
        <f>IF(D11&gt;=75,"A",IF(D11&gt;=60,"B",IF(D11&gt;=40,"C","F")))</f>
        <v/>
      </c>
    </row>
    <row r="12">
      <c r="A12" t="inlineStr">
        <is>
          <t>Dev Malhotra</t>
        </is>
      </c>
      <c r="B12" t="n">
        <v>72</v>
      </c>
      <c r="C12" t="n">
        <v>69</v>
      </c>
      <c r="D12">
        <f>AVERAGE(B12:C12)</f>
        <v/>
      </c>
      <c r="E12">
        <f>IF(D12&gt;=40,"Pass","Fail")</f>
        <v/>
      </c>
      <c r="F12">
        <f>IF(D12&gt;=75,"A",IF(D12&gt;=60,"B",IF(D12&gt;=40,"C","F")))</f>
        <v/>
      </c>
    </row>
    <row r="13">
      <c r="A13" t="inlineStr">
        <is>
          <t>Sana Qureshi</t>
        </is>
      </c>
      <c r="B13" t="n">
        <v>44</v>
      </c>
      <c r="C13" t="n">
        <v>51</v>
      </c>
      <c r="D13">
        <f>AVERAGE(B13:C13)</f>
        <v/>
      </c>
      <c r="E13">
        <f>IF(D13&gt;=40,"Pass","Fail")</f>
        <v/>
      </c>
      <c r="F13">
        <f>IF(D13&gt;=75,"A",IF(D13&gt;=60,"B",IF(D13&gt;=40,"C","F")))</f>
        <v/>
      </c>
    </row>
    <row r="14">
      <c r="A14" t="inlineStr">
        <is>
          <t>Ravi Kumar</t>
        </is>
      </c>
      <c r="B14" t="n">
        <v>83</v>
      </c>
      <c r="C14" t="n">
        <v>79</v>
      </c>
      <c r="D14">
        <f>AVERAGE(B14:C14)</f>
        <v/>
      </c>
      <c r="E14">
        <f>IF(D14&gt;=40,"Pass","Fail")</f>
        <v/>
      </c>
      <c r="F14">
        <f>IF(D14&gt;=75,"A",IF(D14&gt;=60,"B",IF(D14&gt;=40,"C","F")))</f>
        <v/>
      </c>
    </row>
    <row r="15">
      <c r="A15" t="inlineStr">
        <is>
          <t>Priya Nair</t>
        </is>
      </c>
      <c r="B15" t="n">
        <v>67</v>
      </c>
      <c r="C15" t="n">
        <v>71</v>
      </c>
      <c r="D15">
        <f>AVERAGE(B15:C15)</f>
        <v/>
      </c>
      <c r="E15">
        <f>IF(D15&gt;=40,"Pass","Fail")</f>
        <v/>
      </c>
      <c r="F15">
        <f>IF(D15&gt;=75,"A",IF(D15&gt;=60,"B",IF(D15&gt;=40,"C","F")))</f>
        <v/>
      </c>
    </row>
    <row r="16">
      <c r="A16" t="inlineStr">
        <is>
          <t>Amit Shah</t>
        </is>
      </c>
      <c r="B16" t="n">
        <v>39</v>
      </c>
      <c r="C16" t="n">
        <v>45</v>
      </c>
      <c r="D16">
        <f>AVERAGE(B16:C16)</f>
        <v/>
      </c>
      <c r="E16">
        <f>IF(D16&gt;=40,"Pass","Fail")</f>
        <v/>
      </c>
      <c r="F16">
        <f>IF(D16&gt;=75,"A",IF(D16&gt;=60,"B",IF(D16&gt;=40,"C","F")))</f>
        <v/>
      </c>
    </row>
    <row r="18">
      <c r="A18" s="3" t="inlineStr">
        <is>
          <t>CLASS STATISTICS</t>
        </is>
      </c>
    </row>
    <row r="19">
      <c r="A19" s="6" t="inlineStr">
        <is>
          <t>Class Average:</t>
        </is>
      </c>
      <c r="B19">
        <f>AVERAGE(D5:D16)</f>
        <v/>
      </c>
    </row>
    <row r="20">
      <c r="A20" s="6" t="inlineStr">
        <is>
          <t>Highest:</t>
        </is>
      </c>
      <c r="B20">
        <f>MAX(D5:D16)</f>
        <v/>
      </c>
    </row>
    <row r="21">
      <c r="A21" s="6" t="inlineStr">
        <is>
          <t>Lowest:</t>
        </is>
      </c>
      <c r="B21">
        <f>MIN(D5:D16)</f>
        <v/>
      </c>
    </row>
    <row r="22">
      <c r="A22" s="6" t="inlineStr">
        <is>
          <t>Total Students:</t>
        </is>
      </c>
      <c r="B22">
        <f>COUNT(D5:D16)</f>
        <v/>
      </c>
    </row>
    <row r="23">
      <c r="A23" s="6" t="inlineStr">
        <is>
          <t>Passed:</t>
        </is>
      </c>
      <c r="B23">
        <f>COUNTIF(E5:E16,"Pass")</f>
        <v/>
      </c>
    </row>
    <row r="24">
      <c r="A24" s="6" t="inlineStr">
        <is>
          <t>Failed:</t>
        </is>
      </c>
      <c r="B24">
        <f>COUNTIF(E5:E16,"Fail")</f>
        <v/>
      </c>
    </row>
    <row r="25">
      <c r="A25" s="6" t="inlineStr">
        <is>
          <t>Grade A count:</t>
        </is>
      </c>
      <c r="B25">
        <f>COUNTIF(F5:F16,"A")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Practice 2 — ICS Class Test 2 Results</t>
        </is>
      </c>
    </row>
    <row r="3">
      <c r="A3" s="5" t="inlineStr">
        <is>
          <t>Roll No</t>
        </is>
      </c>
      <c r="B3" s="5" t="inlineStr">
        <is>
          <t>Name</t>
        </is>
      </c>
      <c r="C3" s="5" t="inlineStr">
        <is>
          <t>Score /50</t>
        </is>
      </c>
      <c r="D3" s="5" t="inlineStr">
        <is>
          <t>% Score</t>
        </is>
      </c>
      <c r="E3" s="5" t="inlineStr">
        <is>
          <t>Pass?</t>
        </is>
      </c>
    </row>
    <row r="4">
      <c r="A4" t="n">
        <v>1</v>
      </c>
      <c r="B4" t="inlineStr">
        <is>
          <t>Aisha Khan</t>
        </is>
      </c>
      <c r="C4" t="n">
        <v>42</v>
      </c>
      <c r="D4">
        <f>C4/50*100</f>
        <v/>
      </c>
      <c r="E4">
        <f>IF(D4&gt;=40,"Pass","Fail")</f>
        <v/>
      </c>
    </row>
    <row r="5">
      <c r="A5" t="n">
        <v>2</v>
      </c>
      <c r="B5" t="inlineStr">
        <is>
          <t>Rohan Mehta</t>
        </is>
      </c>
      <c r="C5" t="n">
        <v>18</v>
      </c>
      <c r="D5">
        <f>C5/50*100</f>
        <v/>
      </c>
      <c r="E5">
        <f>IF(D5&gt;=40,"Pass","Fail")</f>
        <v/>
      </c>
    </row>
    <row r="6">
      <c r="A6" t="n">
        <v>3</v>
      </c>
      <c r="B6" t="inlineStr">
        <is>
          <t>Fatima Ali</t>
        </is>
      </c>
      <c r="C6" t="n">
        <v>35</v>
      </c>
      <c r="D6">
        <f>C6/50*100</f>
        <v/>
      </c>
      <c r="E6">
        <f>IF(D6&gt;=40,"Pass","Fail")</f>
        <v/>
      </c>
    </row>
    <row r="7">
      <c r="A7" t="n">
        <v>4</v>
      </c>
      <c r="B7" t="inlineStr">
        <is>
          <t>Karan Joshi</t>
        </is>
      </c>
      <c r="C7" t="n">
        <v>28</v>
      </c>
      <c r="D7">
        <f>C7/50*100</f>
        <v/>
      </c>
      <c r="E7">
        <f>IF(D7&gt;=40,"Pass","Fail")</f>
        <v/>
      </c>
    </row>
    <row r="8">
      <c r="A8" t="n">
        <v>5</v>
      </c>
      <c r="B8" t="inlineStr">
        <is>
          <t>Meera Iyer</t>
        </is>
      </c>
      <c r="C8" t="n">
        <v>47</v>
      </c>
      <c r="D8">
        <f>C8/50*100</f>
        <v/>
      </c>
      <c r="E8">
        <f>IF(D8&gt;=40,"Pass","Fail")</f>
        <v/>
      </c>
    </row>
    <row r="9">
      <c r="A9" t="n">
        <v>6</v>
      </c>
      <c r="B9" t="inlineStr">
        <is>
          <t>Arjun Das</t>
        </is>
      </c>
      <c r="C9" t="n">
        <v>15</v>
      </c>
      <c r="D9">
        <f>C9/50*100</f>
        <v/>
      </c>
      <c r="E9">
        <f>IF(D9&gt;=40,"Pass","Fail")</f>
        <v/>
      </c>
    </row>
    <row r="10">
      <c r="A10" t="n">
        <v>7</v>
      </c>
      <c r="B10" t="inlineStr">
        <is>
          <t>Nisha Verma</t>
        </is>
      </c>
      <c r="C10" t="n">
        <v>31</v>
      </c>
      <c r="D10">
        <f>C10/50*100</f>
        <v/>
      </c>
      <c r="E10">
        <f>IF(D10&gt;=40,"Pass","Fail")</f>
        <v/>
      </c>
    </row>
    <row r="11">
      <c r="A11" t="n">
        <v>8</v>
      </c>
      <c r="B11" t="inlineStr">
        <is>
          <t>Dev Malhotra</t>
        </is>
      </c>
      <c r="C11" t="n">
        <v>38</v>
      </c>
      <c r="D11">
        <f>C11/50*100</f>
        <v/>
      </c>
      <c r="E11">
        <f>IF(D11&gt;=40,"Pass","Fail")</f>
        <v/>
      </c>
    </row>
    <row r="13">
      <c r="A13" t="inlineStr">
        <is>
          <t>Average Score %</t>
        </is>
      </c>
      <c r="D13">
        <f>AVERAGE(D4:D11)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0" customWidth="1" min="4" max="4"/>
    <col width="14" customWidth="1" min="5" max="5"/>
    <col width="12" customWidth="1" min="6" max="6"/>
  </cols>
  <sheetData>
    <row r="1">
      <c r="A1" s="1" t="inlineStr">
        <is>
          <t>Practice 3 — Attendance Calculator</t>
        </is>
      </c>
    </row>
    <row r="3">
      <c r="A3" s="5" t="inlineStr">
        <is>
          <t>Student</t>
        </is>
      </c>
      <c r="B3" s="5" t="inlineStr">
        <is>
          <t>Classes Held</t>
        </is>
      </c>
      <c r="C3" s="5" t="inlineStr">
        <is>
          <t>Attended</t>
        </is>
      </c>
      <c r="D3" s="5" t="inlineStr">
        <is>
          <t>Absent</t>
        </is>
      </c>
      <c r="E3" s="5" t="inlineStr">
        <is>
          <t>Attendance %</t>
        </is>
      </c>
      <c r="F3" s="5" t="inlineStr">
        <is>
          <t>Status</t>
        </is>
      </c>
    </row>
    <row r="4">
      <c r="A4" t="inlineStr">
        <is>
          <t>Aisha Khan</t>
        </is>
      </c>
      <c r="B4" t="n">
        <v>30</v>
      </c>
      <c r="C4" t="n">
        <v>28</v>
      </c>
      <c r="D4">
        <f>B4-C4</f>
        <v/>
      </c>
      <c r="E4">
        <f>C4/B4*100</f>
        <v/>
      </c>
      <c r="F4">
        <f>IF(E4&gt;=75,"OK","Low")</f>
        <v/>
      </c>
    </row>
    <row r="5">
      <c r="A5" t="inlineStr">
        <is>
          <t>Rohan Mehta</t>
        </is>
      </c>
      <c r="B5" t="n">
        <v>30</v>
      </c>
      <c r="C5" t="n">
        <v>22</v>
      </c>
      <c r="D5">
        <f>B5-C5</f>
        <v/>
      </c>
      <c r="E5">
        <f>C5/B5*100</f>
        <v/>
      </c>
      <c r="F5">
        <f>IF(E5&gt;=75,"OK","Low")</f>
        <v/>
      </c>
    </row>
    <row r="6">
      <c r="A6" t="inlineStr">
        <is>
          <t>Fatima Ali</t>
        </is>
      </c>
      <c r="B6" t="n">
        <v>30</v>
      </c>
      <c r="C6" t="n">
        <v>27</v>
      </c>
      <c r="D6">
        <f>B6-C6</f>
        <v/>
      </c>
      <c r="E6">
        <f>C6/B6*100</f>
        <v/>
      </c>
      <c r="F6">
        <f>IF(E6&gt;=75,"OK","Low")</f>
        <v/>
      </c>
    </row>
    <row r="7">
      <c r="A7" t="inlineStr">
        <is>
          <t>Karan Joshi</t>
        </is>
      </c>
      <c r="B7" t="n">
        <v>30</v>
      </c>
      <c r="C7" t="n">
        <v>25</v>
      </c>
      <c r="D7">
        <f>B7-C7</f>
        <v/>
      </c>
      <c r="E7">
        <f>C7/B7*100</f>
        <v/>
      </c>
      <c r="F7">
        <f>IF(E7&gt;=75,"OK","Low")</f>
        <v/>
      </c>
    </row>
    <row r="8">
      <c r="A8" t="inlineStr">
        <is>
          <t>Meera Iyer</t>
        </is>
      </c>
      <c r="B8" t="n">
        <v>30</v>
      </c>
      <c r="C8" t="n">
        <v>30</v>
      </c>
      <c r="D8">
        <f>B8-C8</f>
        <v/>
      </c>
      <c r="E8">
        <f>C8/B8*100</f>
        <v/>
      </c>
      <c r="F8">
        <f>IF(E8&gt;=75,"OK","Low")</f>
        <v/>
      </c>
    </row>
    <row r="9">
      <c r="A9" t="inlineStr">
        <is>
          <t>Arjun Das</t>
        </is>
      </c>
      <c r="B9" t="n">
        <v>30</v>
      </c>
      <c r="C9" t="n">
        <v>18</v>
      </c>
      <c r="D9">
        <f>B9-C9</f>
        <v/>
      </c>
      <c r="E9">
        <f>C9/B9*100</f>
        <v/>
      </c>
      <c r="F9">
        <f>IF(E9&gt;=75,"OK","Low")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E12"/>
  <sheetViews>
    <sheetView workbookViewId="0">
      <selection activeCell="A1" sqref="A1"/>
    </sheetView>
  </sheetViews>
  <sheetFormatPr baseColWidth="8" defaultRowHeight="15"/>
  <sheetData>
    <row r="2">
      <c r="A2" s="7" t="inlineStr">
        <is>
          <t>EXERCISE: Build a Salary Sheet for 6 airport staff:
Columns: Name, Basic Pay, HRA (40% of basic), DA (20%), Gross, Tax (10% of gross), Net Pay
Use formulas for ALL calculated columns
Add SUM row at bottom for total net pay
Use IF to flag Net Pay &gt; 50000 as 'High' else 'Normal'</t>
        </is>
      </c>
    </row>
    <row r="3"/>
    <row r="4"/>
    <row r="5"/>
    <row r="6"/>
    <row r="7"/>
    <row r="8"/>
    <row r="9"/>
    <row r="10"/>
    <row r="11"/>
    <row r="12"/>
  </sheetData>
  <mergeCells count="1">
    <mergeCell ref="A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2026-07-26T05:58:25Z</dcterms:created>
  <dcterms:modified xmlns:dcterms="http://purl.org/dc/terms/" xmlns:xsi="http://www.w3.org/2001/XMLSchema-instance" xsi:type="dcterms:W3CDTF">2026-07-26T05:58:25Z</dcterms:modified>
</cp:coreProperties>
</file>